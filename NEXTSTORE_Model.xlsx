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4ef324fe1949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ff007200a8f7492c"/>
    <x:sheet xmlns:r="http://schemas.openxmlformats.org/officeDocument/2006/relationships" name="Candidate Inputs" sheetId="2" r:id="Rb566b030279b4d9b"/>
    <x:sheet xmlns:r="http://schemas.openxmlformats.org/officeDocument/2006/relationships" name="Existing Stores" sheetId="3" r:id="R51169a50e71446e9"/>
    <x:sheet xmlns:r="http://schemas.openxmlformats.org/officeDocument/2006/relationships" name="Competitors" sheetId="4" r:id="Rb81a7750cf334f3a"/>
    <x:sheet xmlns:r="http://schemas.openxmlformats.org/officeDocument/2006/relationships" name="Assumptions" sheetId="5" r:id="Rf6990273a8724600"/>
    <x:sheet xmlns:r="http://schemas.openxmlformats.org/officeDocument/2006/relationships" name="Model &amp; Ranking" sheetId="6" r:id="Ra3e9e147aac64058"/>
    <x:sheet xmlns:r="http://schemas.openxmlformats.org/officeDocument/2006/relationships" name="Scenario &amp; Breaker" sheetId="7" r:id="R30068b65faab4f7c"/>
    <x:sheet xmlns:r="http://schemas.openxmlformats.org/officeDocument/2006/relationships" name="README" sheetId="8" r:id="Ra5053ffb994949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"/>
    <x:numFmt numFmtId="201" formatCode="0.0%"/>
    <x:numFmt numFmtId="202" formatCode="0.0"/>
    <x:numFmt numFmtId="203" formatCode="#,##0"/>
    <x:numFmt numFmtId="204" formatCode="₹#,##0"/>
    <x:numFmt numFmtId="205" formatCode="0"/>
    <x:numFmt numFmtId="206" formatCode="0%"/>
  </x:numFmts>
  <x:fonts count="7">
    <x:font>
      <x:sz val="11"/>
      <x:name val="Carlito"/>
    </x:font>
    <x:font>
      <x:b/>
      <x:sz val="18"/>
      <x:color rgb="FFEDF5FF"/>
      <x:name val="Carlito"/>
    </x:font>
    <x:font>
      <x:i/>
      <x:sz val="11"/>
      <x:color rgb="FF8EA6BE"/>
      <x:name val="Carlito"/>
    </x:font>
    <x:font>
      <x:b/>
      <x:sz val="11"/>
      <x:color rgb="FFEDF5FF"/>
      <x:name val="Carlito"/>
    </x:font>
    <x:font>
      <x:sz val="11"/>
      <x:color rgb="FFEDF5FF"/>
      <x:name val="Carlito"/>
    </x:font>
    <x:font>
      <x:b/>
      <x:sz val="11"/>
      <x:color rgb="FFBFEFFF"/>
      <x:name val="Carlito"/>
    </x:font>
    <x:font>
      <x:b/>
      <x:sz val="16"/>
      <x:color rgb="FFEDF5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7111F"/>
      </x:patternFill>
    </x:fill>
    <x:fill>
      <x:patternFill patternType="solid">
        <x:fgColor rgb="FF0F2338"/>
      </x:patternFill>
    </x:fill>
    <x:fill>
      <x:patternFill patternType="solid">
        <x:fgColor rgb="FF8B7CFF"/>
      </x:patternFill>
    </x:fill>
    <x:fill>
      <x:patternFill patternType="solid">
        <x:fgColor rgb="FF0A1B2C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200" fontId="4" fillId="3" borderId="0" xfId="0" applyNumberFormat="1" applyFont="1" applyFill="1" applyBorder="1" applyAlignment="1">
      <x:alignment wrapText="1"/>
    </x:xf>
    <x:xf numFmtId="200" fontId="4" fillId="3" borderId="1" xfId="0" applyNumberFormat="1" applyFont="1" applyFill="1" applyBorder="1" applyAlignment="1">
      <x:alignment wrapText="1"/>
    </x:xf>
    <x:xf numFmtId="201" fontId="4" fillId="3" borderId="0" xfId="0" applyNumberFormat="1" applyFont="1" applyFill="1" applyBorder="1" applyAlignment="1">
      <x:alignment wrapText="1"/>
    </x:xf>
    <x:xf numFmtId="201" fontId="4" fillId="3" borderId="1" xfId="0" applyNumberFormat="1" applyFont="1" applyFill="1" applyBorder="1" applyAlignment="1">
      <x:alignment wrapText="1"/>
    </x:xf>
    <x:xf numFmtId="202" fontId="4" fillId="3" borderId="0" xfId="0" applyNumberFormat="1" applyFont="1" applyFill="1" applyBorder="1" applyAlignment="1">
      <x:alignment wrapText="1"/>
    </x:xf>
    <x:xf numFmtId="202" fontId="4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3" fontId="4" fillId="3" borderId="0" xfId="0" applyNumberFormat="1" applyFont="1" applyFill="1" applyBorder="1" applyAlignment="1">
      <x:alignment wrapText="1"/>
    </x:xf>
    <x:xf numFmtId="203" fontId="4" fillId="3" borderId="1" xfId="0" applyNumberFormat="1" applyFont="1" applyFill="1" applyBorder="1" applyAlignment="1">
      <x:alignment wrapText="1"/>
    </x:xf>
    <x:xf numFmtId="204" fontId="4" fillId="3" borderId="0" xfId="0" applyNumberFormat="1" applyFont="1" applyFill="1" applyBorder="1" applyAlignment="1">
      <x:alignment wrapText="1"/>
    </x:xf>
    <x:xf numFmtId="204" fontId="4" fillId="3" borderId="1" xfId="0" applyNumberFormat="1" applyFont="1" applyFill="1" applyBorder="1" applyAlignment="1">
      <x:alignment wrapText="1"/>
    </x:xf>
    <x:xf numFmtId="205" fontId="4" fillId="3" borderId="0" xfId="0" applyNumberFormat="1" applyFont="1" applyFill="1" applyBorder="1" applyAlignment="1">
      <x:alignment wrapText="1"/>
    </x:xf>
    <x:xf numFmtId="205" fontId="4" fillId="3" borderId="1" xfId="0" applyNumberFormat="1" applyFont="1" applyFill="1" applyBorder="1" applyAlignment="1">
      <x:alignment wrapText="1"/>
    </x:xf>
    <x:xf numFmtId="206" fontId="4" fillId="3" borderId="0" xfId="0" applyNumberFormat="1" applyFont="1" applyFill="1" applyBorder="1"/>
    <x:xf numFmtId="206" fontId="4" fillId="3" borderId="1" xfId="0" applyNumberFormat="1" applyFont="1" applyFill="1" applyBorder="1"/>
    <x:xf numFmtId="200" fontId="4" fillId="3" borderId="0" xfId="0" applyNumberFormat="1" applyFont="1" applyFill="1" applyBorder="1"/>
    <x:xf numFmtId="200" fontId="4" fillId="3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2a4ab52a904664" /><Relationship Type="http://schemas.openxmlformats.org/officeDocument/2006/relationships/theme" Target="/xl/theme/theme1.xml" Id="R8fad35d7bb514b34" /><Relationship Type="http://schemas.openxmlformats.org/officeDocument/2006/relationships/sharedStrings" Target="/xl/sharedStrings.xml" Id="R6405639a527d4fd3" /><Relationship Type="http://schemas.openxmlformats.org/officeDocument/2006/relationships/worksheet" Target="/xl/worksheets/sheet1.xml" Id="Rff007200a8f7492c" /><Relationship Type="http://schemas.openxmlformats.org/officeDocument/2006/relationships/worksheet" Target="/xl/worksheets/sheet2.xml" Id="Rb566b030279b4d9b" /><Relationship Type="http://schemas.openxmlformats.org/officeDocument/2006/relationships/worksheet" Target="/xl/worksheets/sheet3.xml" Id="R51169a50e71446e9" /><Relationship Type="http://schemas.openxmlformats.org/officeDocument/2006/relationships/worksheet" Target="/xl/worksheets/sheet4.xml" Id="Rb81a7750cf334f3a" /><Relationship Type="http://schemas.openxmlformats.org/officeDocument/2006/relationships/worksheet" Target="/xl/worksheets/sheet5.xml" Id="Rf6990273a8724600" /><Relationship Type="http://schemas.openxmlformats.org/officeDocument/2006/relationships/worksheet" Target="/xl/worksheets/sheet6.xml" Id="Ra3e9e147aac64058" /><Relationship Type="http://schemas.openxmlformats.org/officeDocument/2006/relationships/worksheet" Target="/xl/worksheets/sheet7.xml" Id="R30068b65faab4f7c" /><Relationship Type="http://schemas.openxmlformats.org/officeDocument/2006/relationships/worksheet" Target="/xl/worksheets/sheet8.xml" Id="Ra5053ffb994949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4" hidden="0" customWidth="1"/>
    <x:col min="4" max="4" width="23" hidden="0" customWidth="1"/>
    <x:col min="5" max="5" width="21" hidden="0" customWidth="1"/>
    <x:col min="6" max="6" width="4" hidden="0" customWidth="1"/>
    <x:col min="7" max="7" width="21" hidden="0" customWidth="1"/>
    <x:col min="8" max="8" width="25" hidden="0" customWidth="1"/>
  </x:cols>
  <x:sheetData>
    <x:row r="1">
      <x:c r="A1" s="5" t="str">
        <x:v>NEXTSTORE | Retail Expansion Decision OS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2" t="str">
        <x:v>AI-assisted decision workflow | Synthetic / illustrative case data | Deterministic model + AI synthesis concept</x:v>
      </x:c>
      <x:c r="B3" s="12"/>
      <x:c r="C3" s="12"/>
      <x:c r="D3" s="12"/>
      <x:c r="E3" s="12"/>
      <x:c r="F3" s="12"/>
      <x:c r="G3" s="12"/>
      <x:c r="H3" s="12"/>
    </x:row>
    <x:row r="5">
      <x:c r="A5" s="18" t="str">
        <x:v>KPI</x:v>
      </x:c>
      <x:c r="B5" s="18" t="str">
        <x:v>Value</x:v>
      </x:c>
      <x:c r="C5" s="18" t="str"/>
      <x:c r="D5" s="18" t="str">
        <x:v>KPI</x:v>
      </x:c>
      <x:c r="E5" s="18" t="str">
        <x:v>Value</x:v>
      </x:c>
      <x:c r="F5" s="18" t="str"/>
      <x:c r="G5" s="18" t="str">
        <x:v>KPI</x:v>
      </x:c>
      <x:c r="H5" s="18" t="str">
        <x:v>Value</x:v>
      </x:c>
    </x:row>
    <x:row r="6">
      <x:c r="A6" s="23" t="str">
        <x:v>Recommended site</x:v>
      </x:c>
      <x:c r="B6" s="23" t="str">
        <x:v>Civic Square</x:v>
      </x:c>
      <x:c r="C6" s="23" t="str"/>
      <x:c r="D6" s="23" t="str">
        <x:v>Net incremental value</x:v>
      </x:c>
      <x:c r="E6" s="26" t="n">
        <x:v>1.2599536034213896</x:v>
      </x:c>
      <x:c r="F6" s="23" t="str"/>
      <x:c r="G6" s="23" t="str">
        <x:v>ROI</x:v>
      </x:c>
      <x:c r="H6" s="28" t="n">
        <x:v>0.35998674383468277</x:v>
      </x:c>
    </x:row>
    <x:row r="7">
      <x:c r="A7" s="23" t="str">
        <x:v>Decision</x:v>
      </x:c>
      <x:c r="B7" s="23" t="str">
        <x:v>OPEN</x:v>
      </x:c>
      <x:c r="C7" s="23" t="str"/>
      <x:c r="D7" s="23" t="str">
        <x:v>Decision confidence</x:v>
      </x:c>
      <x:c r="E7" s="28" t="n">
        <x:v>0.8090866879349886</x:v>
      </x:c>
      <x:c r="F7" s="23" t="str"/>
      <x:c r="G7" s="23" t="str">
        <x:v>Payback (months)</x:v>
      </x:c>
      <x:c r="H7" s="30" t="n">
        <x:v>33.33456080124655</x:v>
      </x:c>
    </x:row>
    <x:row r="8">
      <x:c r="A8" s="23" t="str">
        <x:v>Runner-up</x:v>
      </x:c>
      <x:c r="B8" s="23" t="str">
        <x:v>Lakeview</x:v>
      </x:c>
      <x:c r="C8" s="23" t="str"/>
      <x:c r="D8" s="23" t="str">
        <x:v>Cannibalisation</x:v>
      </x:c>
      <x:c r="E8" s="28" t="n">
        <x:v>0.17275541376674294</x:v>
      </x:c>
      <x:c r="F8" s="23" t="str"/>
      <x:c r="G8" s="23" t="str">
        <x:v>Opportunity score</x:v>
      </x:c>
      <x:c r="H8" s="28" t="n">
        <x:v>0.5878467940449557</x:v>
      </x:c>
    </x:row>
    <x:row r="9">
      <x:c r="A9" s="23" t="str">
        <x:v>Decision breaker</x:v>
      </x:c>
      <x:c r="B9" s="23" t="str">
        <x:v>Footfall realization</x:v>
      </x:c>
      <x:c r="C9" s="23" t="str"/>
      <x:c r="D9" s="23" t="str">
        <x:v>Breakpoint</x:v>
      </x:c>
      <x:c r="E9" s="28" t="n">
        <x:v>0.08799999999999997</x:v>
      </x:c>
      <x:c r="F9" s="23" t="str"/>
      <x:c r="G9" s="23" t="str">
        <x:v>Next validation</x:v>
      </x:c>
      <x:c r="H9" s="23" t="str">
        <x:v>Footfall + catchment</x:v>
      </x:c>
    </x:row>
    <x:row r="10">
      <x:c r="A10" s="23" t="str">
        <x:v>North-star KPI</x:v>
      </x:c>
      <x:c r="B10" s="23" t="str">
        <x:v>Net Incremental Value</x:v>
      </x:c>
      <x:c r="C10" s="23" t="str"/>
      <x:c r="D10" s="23" t="str">
        <x:v>AI role</x:v>
      </x:c>
      <x:c r="E10" s="23" t="str">
        <x:v>Explain + challenge</x:v>
      </x:c>
      <x:c r="F10" s="23" t="str"/>
      <x:c r="G10" s="23" t="str">
        <x:v>Production path</x:v>
      </x:c>
      <x:c r="H10" s="23" t="str">
        <x:v>Calibrate with real data</x:v>
      </x:c>
    </x:row>
    <x:row r="12">
      <x:c r="A12" s="34" t="str">
        <x:v>Positioning: NEXTSTORE does not only rank sites. It identifies the most valuable network expansion option, stress-tests the choice, and recommends the next validation action.</x:v>
      </x:c>
      <x:c r="B12" s="34"/>
      <x:c r="C12" s="34"/>
      <x:c r="D12" s="34"/>
      <x:c r="E12" s="34"/>
      <x:c r="F12" s="34"/>
      <x:c r="G12" s="34"/>
      <x:c r="H12" s="34"/>
    </x:row>
  </x:sheetData>
  <x:mergeCells>
    <x:mergeCell ref="A1:H2"/>
    <x:mergeCell ref="A3:H3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9" hidden="0" customWidth="1"/>
    <x:col min="4" max="4" width="9" hidden="0" customWidth="1"/>
    <x:col min="5" max="5" width="14" hidden="0" customWidth="1"/>
    <x:col min="6" max="6" width="16" hidden="0" customWidth="1"/>
    <x:col min="7" max="7" width="14" hidden="0" customWidth="1"/>
    <x:col min="8" max="8" width="11" hidden="0" customWidth="1"/>
    <x:col min="9" max="9" width="16" hidden="0" customWidth="1"/>
    <x:col min="10" max="10" width="15" hidden="0" customWidth="1"/>
    <x:col min="11" max="11" width="13" hidden="0" customWidth="1"/>
    <x:col min="12" max="12" width="11" hidden="0" customWidth="1"/>
    <x:col min="13" max="13" width="11" hidden="0" customWidth="1"/>
    <x:col min="14" max="14" width="11" hidden="0" customWidth="1"/>
    <x:col min="15" max="15" width="17" hidden="0" customWidth="1"/>
    <x:col min="16" max="16" width="12" hidden="0" customWidth="1"/>
    <x:col min="17" max="17" width="16" hidden="0" customWidth="1"/>
  </x:cols>
  <x:sheetData>
    <x:row r="1">
      <x:c r="A1" s="38" t="str">
        <x:v>Site ID</x:v>
      </x:c>
      <x:c r="B1" s="38" t="str">
        <x:v>Site</x:v>
      </x:c>
      <x:c r="C1" s="38" t="str">
        <x:v>Map X</x:v>
      </x:c>
      <x:c r="D1" s="38" t="str">
        <x:v>Map Y</x:v>
      </x:c>
      <x:c r="E1" s="38" t="str">
        <x:v>Population</x:v>
      </x:c>
      <x:c r="F1" s="38" t="str">
        <x:v>Avg HH Income (₹)</x:v>
      </x:c>
      <x:c r="G1" s="38" t="str">
        <x:v>Daily Footfall</x:v>
      </x:c>
      <x:c r="H1" s="38" t="str">
        <x:v>Competitors</x:v>
      </x:c>
      <x:c r="I1" s="38" t="str">
        <x:v>Nearest Comp (km)</x:v>
      </x:c>
      <x:c r="J1" s="38" t="str">
        <x:v>Rent / Year (₹ Cr)</x:v>
      </x:c>
      <x:c r="K1" s="38" t="str">
        <x:v>Accessibility</x:v>
      </x:c>
      <x:c r="L1" s="38" t="str">
        <x:v>Transit</x:v>
      </x:c>
      <x:c r="M1" s="38" t="str">
        <x:v>Parking</x:v>
      </x:c>
      <x:c r="N1" s="38" t="str">
        <x:v>Visibility</x:v>
      </x:c>
      <x:c r="O1" s="38" t="str">
        <x:v>Nearest Own Store (km)</x:v>
      </x:c>
      <x:c r="P1" s="38" t="str">
        <x:v>Capex (₹ Cr)</x:v>
      </x:c>
      <x:c r="Q1" s="38" t="str">
        <x:v>Comparable Sales (₹ Cr)</x:v>
      </x:c>
    </x:row>
    <x:row r="2">
      <x:c r="A2" s="23" t="str">
        <x:v>NS-01</x:v>
      </x:c>
      <x:c r="B2" s="23" t="str">
        <x:v>Northgate</x:v>
      </x:c>
      <x:c r="C2" s="23" t="n">
        <x:v>17</x:v>
      </x:c>
      <x:c r="D2" s="23" t="n">
        <x:v>22</x:v>
      </x:c>
      <x:c r="E2" s="40" t="n">
        <x:v>185000</x:v>
      </x:c>
      <x:c r="F2" s="42" t="n">
        <x:v>92000</x:v>
      </x:c>
      <x:c r="G2" s="40" t="n">
        <x:v>7200</x:v>
      </x:c>
      <x:c r="H2" s="44" t="n">
        <x:v>4</x:v>
      </x:c>
      <x:c r="I2" s="30" t="n">
        <x:v>0.9</x:v>
      </x:c>
      <x:c r="J2" s="26" t="n">
        <x:v>0.92</x:v>
      </x:c>
      <x:c r="K2" s="44" t="n">
        <x:v>90</x:v>
      </x:c>
      <x:c r="L2" s="44" t="n">
        <x:v>88</x:v>
      </x:c>
      <x:c r="M2" s="44" t="n">
        <x:v>72</x:v>
      </x:c>
      <x:c r="N2" s="44" t="n">
        <x:v>84</x:v>
      </x:c>
      <x:c r="O2" s="30" t="n">
        <x:v>2.8</x:v>
      </x:c>
      <x:c r="P2" s="30" t="n">
        <x:v>3.8</x:v>
      </x:c>
      <x:c r="Q2" s="30" t="n">
        <x:v>4.6</x:v>
      </x:c>
    </x:row>
    <x:row r="3">
      <x:c r="A3" s="23" t="str">
        <x:v>NS-02</x:v>
      </x:c>
      <x:c r="B3" s="23" t="str">
        <x:v>Civic Square</x:v>
      </x:c>
      <x:c r="C3" s="23" t="n">
        <x:v>45</x:v>
      </x:c>
      <x:c r="D3" s="23" t="n">
        <x:v>29</x:v>
      </x:c>
      <x:c r="E3" s="40" t="n">
        <x:v>212000</x:v>
      </x:c>
      <x:c r="F3" s="42" t="n">
        <x:v>118000</x:v>
      </x:c>
      <x:c r="G3" s="40" t="n">
        <x:v>7000</x:v>
      </x:c>
      <x:c r="H3" s="44" t="n">
        <x:v>2</x:v>
      </x:c>
      <x:c r="I3" s="30" t="n">
        <x:v>1.8</x:v>
      </x:c>
      <x:c r="J3" s="26" t="n">
        <x:v>0.78</x:v>
      </x:c>
      <x:c r="K3" s="44" t="n">
        <x:v>93</x:v>
      </x:c>
      <x:c r="L3" s="44" t="n">
        <x:v>96</x:v>
      </x:c>
      <x:c r="M3" s="44" t="n">
        <x:v>79</x:v>
      </x:c>
      <x:c r="N3" s="44" t="n">
        <x:v>91</x:v>
      </x:c>
      <x:c r="O3" s="30" t="n">
        <x:v>6.9</x:v>
      </x:c>
      <x:c r="P3" s="30" t="n">
        <x:v>3.5</x:v>
      </x:c>
      <x:c r="Q3" s="30" t="n">
        <x:v>4.9</x:v>
      </x:c>
    </x:row>
    <x:row r="4">
      <x:c r="A4" s="23" t="str">
        <x:v>NS-03</x:v>
      </x:c>
      <x:c r="B4" s="23" t="str">
        <x:v>Riverside</x:v>
      </x:c>
      <x:c r="C4" s="23" t="n">
        <x:v>70</x:v>
      </x:c>
      <x:c r="D4" s="23" t="n">
        <x:v>19</x:v>
      </x:c>
      <x:c r="E4" s="40" t="n">
        <x:v>198000</x:v>
      </x:c>
      <x:c r="F4" s="42" t="n">
        <x:v>104000</x:v>
      </x:c>
      <x:c r="G4" s="40" t="n">
        <x:v>8800</x:v>
      </x:c>
      <x:c r="H4" s="44" t="n">
        <x:v>5</x:v>
      </x:c>
      <x:c r="I4" s="30" t="n">
        <x:v>0.6</x:v>
      </x:c>
      <x:c r="J4" s="26" t="n">
        <x:v>1.36</x:v>
      </x:c>
      <x:c r="K4" s="44" t="n">
        <x:v>82</x:v>
      </x:c>
      <x:c r="L4" s="44" t="n">
        <x:v>74</x:v>
      </x:c>
      <x:c r="M4" s="44" t="n">
        <x:v>85</x:v>
      </x:c>
      <x:c r="N4" s="44" t="n">
        <x:v>86</x:v>
      </x:c>
      <x:c r="O4" s="30" t="n">
        <x:v>3.1</x:v>
      </x:c>
      <x:c r="P4" s="30" t="n">
        <x:v>4.6</x:v>
      </x:c>
      <x:c r="Q4" s="30" t="n">
        <x:v>5.1</x:v>
      </x:c>
    </x:row>
    <x:row r="5">
      <x:c r="A5" s="23" t="str">
        <x:v>NS-04</x:v>
      </x:c>
      <x:c r="B5" s="23" t="str">
        <x:v>East Market</x:v>
      </x:c>
      <x:c r="C5" s="23" t="n">
        <x:v>82</x:v>
      </x:c>
      <x:c r="D5" s="23" t="n">
        <x:v>58</x:v>
      </x:c>
      <x:c r="E5" s="40" t="n">
        <x:v>245000</x:v>
      </x:c>
      <x:c r="F5" s="42" t="n">
        <x:v>76000</x:v>
      </x:c>
      <x:c r="G5" s="40" t="n">
        <x:v>10600</x:v>
      </x:c>
      <x:c r="H5" s="44" t="n">
        <x:v>7</x:v>
      </x:c>
      <x:c r="I5" s="30" t="n">
        <x:v>0.4</x:v>
      </x:c>
      <x:c r="J5" s="26" t="n">
        <x:v>0.98</x:v>
      </x:c>
      <x:c r="K5" s="44" t="n">
        <x:v>86</x:v>
      </x:c>
      <x:c r="L5" s="44" t="n">
        <x:v>82</x:v>
      </x:c>
      <x:c r="M5" s="44" t="n">
        <x:v>66</x:v>
      </x:c>
      <x:c r="N5" s="44" t="n">
        <x:v>88</x:v>
      </x:c>
      <x:c r="O5" s="30" t="n">
        <x:v>5.1</x:v>
      </x:c>
      <x:c r="P5" s="30" t="n">
        <x:v>3.9</x:v>
      </x:c>
      <x:c r="Q5" s="30" t="n">
        <x:v>5.4</x:v>
      </x:c>
    </x:row>
    <x:row r="6">
      <x:c r="A6" s="23" t="str">
        <x:v>NS-05</x:v>
      </x:c>
      <x:c r="B6" s="23" t="str">
        <x:v>Tech Park</x:v>
      </x:c>
      <x:c r="C6" s="23" t="n">
        <x:v>54</x:v>
      </x:c>
      <x:c r="D6" s="23" t="n">
        <x:v>75</x:v>
      </x:c>
      <x:c r="E6" s="40" t="n">
        <x:v>142000</x:v>
      </x:c>
      <x:c r="F6" s="42" t="n">
        <x:v>132000</x:v>
      </x:c>
      <x:c r="G6" s="40" t="n">
        <x:v>5400</x:v>
      </x:c>
      <x:c r="H6" s="44" t="n">
        <x:v>1</x:v>
      </x:c>
      <x:c r="I6" s="30" t="n">
        <x:v>3.2</x:v>
      </x:c>
      <x:c r="J6" s="26" t="n">
        <x:v>0.72</x:v>
      </x:c>
      <x:c r="K6" s="44" t="n">
        <x:v>88</x:v>
      </x:c>
      <x:c r="L6" s="44" t="n">
        <x:v>90</x:v>
      </x:c>
      <x:c r="M6" s="44" t="n">
        <x:v>92</x:v>
      </x:c>
      <x:c r="N6" s="44" t="n">
        <x:v>78</x:v>
      </x:c>
      <x:c r="O6" s="30" t="n">
        <x:v>8.4</x:v>
      </x:c>
      <x:c r="P6" s="30" t="n">
        <x:v>3.1</x:v>
      </x:c>
      <x:c r="Q6" s="30" t="n">
        <x:v>4.5</x:v>
      </x:c>
    </x:row>
    <x:row r="7">
      <x:c r="A7" s="23" t="str">
        <x:v>NS-06</x:v>
      </x:c>
      <x:c r="B7" s="23" t="str">
        <x:v>Lakeview</x:v>
      </x:c>
      <x:c r="C7" s="23" t="n">
        <x:v>25</x:v>
      </x:c>
      <x:c r="D7" s="23" t="n">
        <x:v>78</x:v>
      </x:c>
      <x:c r="E7" s="40" t="n">
        <x:v>165000</x:v>
      </x:c>
      <x:c r="F7" s="42" t="n">
        <x:v>101000</x:v>
      </x:c>
      <x:c r="G7" s="40" t="n">
        <x:v>6900</x:v>
      </x:c>
      <x:c r="H7" s="44" t="n">
        <x:v>3</x:v>
      </x:c>
      <x:c r="I7" s="30" t="n">
        <x:v>1.5</x:v>
      </x:c>
      <x:c r="J7" s="26" t="n">
        <x:v>0.68</x:v>
      </x:c>
      <x:c r="K7" s="44" t="n">
        <x:v>79</x:v>
      </x:c>
      <x:c r="L7" s="44" t="n">
        <x:v>72</x:v>
      </x:c>
      <x:c r="M7" s="44" t="n">
        <x:v>94</x:v>
      </x:c>
      <x:c r="N7" s="44" t="n">
        <x:v>73</x:v>
      </x:c>
      <x:c r="O7" s="30" t="n">
        <x:v>7.8</x:v>
      </x:c>
      <x:c r="P7" s="30" t="n">
        <x:v>3</x:v>
      </x:c>
      <x:c r="Q7" s="30" t="n">
        <x:v>4.2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0" hidden="0" customWidth="1"/>
    <x:col min="4" max="4" width="10" hidden="0" customWidth="1"/>
    <x:col min="5" max="5" width="18" hidden="0" customWidth="1"/>
  </x:cols>
  <x:sheetData>
    <x:row r="1">
      <x:c r="A1" s="17" t="str">
        <x:v>Store ID</x:v>
      </x:c>
      <x:c r="B1" s="17" t="str">
        <x:v>Store</x:v>
      </x:c>
      <x:c r="C1" s="17" t="str">
        <x:v>Map X</x:v>
      </x:c>
      <x:c r="D1" s="17" t="str">
        <x:v>Map Y</x:v>
      </x:c>
      <x:c r="E1" s="17" t="str">
        <x:v>Annual Sales (₹ Cr)</x:v>
      </x:c>
    </x:row>
    <x:row r="2">
      <x:c r="A2" s="22" t="str">
        <x:v>ES-01</x:v>
      </x:c>
      <x:c r="B2" s="22" t="str">
        <x:v>Store 01</x:v>
      </x:c>
      <x:c r="C2" s="22" t="n">
        <x:v>12</x:v>
      </x:c>
      <x:c r="D2" s="22" t="n">
        <x:v>32</x:v>
      </x:c>
      <x:c r="E2" s="22" t="n">
        <x:v>4.3</x:v>
      </x:c>
    </x:row>
    <x:row r="3">
      <x:c r="A3" s="22" t="str">
        <x:v>ES-02</x:v>
      </x:c>
      <x:c r="B3" s="22" t="str">
        <x:v>Store 02</x:v>
      </x:c>
      <x:c r="C3" s="22" t="n">
        <x:v>34</x:v>
      </x:c>
      <x:c r="D3" s="22" t="n">
        <x:v>18</x:v>
      </x:c>
      <x:c r="E3" s="22" t="n">
        <x:v>5.2</x:v>
      </x:c>
    </x:row>
    <x:row r="4">
      <x:c r="A4" s="22" t="str">
        <x:v>ES-03</x:v>
      </x:c>
      <x:c r="B4" s="22" t="str">
        <x:v>Store 03</x:v>
      </x:c>
      <x:c r="C4" s="22" t="n">
        <x:v>60</x:v>
      </x:c>
      <x:c r="D4" s="22" t="n">
        <x:v>30</x:v>
      </x:c>
      <x:c r="E4" s="22" t="n">
        <x:v>6.1</x:v>
      </x:c>
    </x:row>
    <x:row r="5">
      <x:c r="A5" s="22" t="str">
        <x:v>ES-04</x:v>
      </x:c>
      <x:c r="B5" s="22" t="str">
        <x:v>Store 04</x:v>
      </x:c>
      <x:c r="C5" s="22" t="n">
        <x:v>77</x:v>
      </x:c>
      <x:c r="D5" s="22" t="n">
        <x:v>34</x:v>
      </x:c>
      <x:c r="E5" s="22" t="n">
        <x:v>4.8</x:v>
      </x:c>
    </x:row>
    <x:row r="6">
      <x:c r="A6" s="22" t="str">
        <x:v>ES-05</x:v>
      </x:c>
      <x:c r="B6" s="22" t="str">
        <x:v>Store 05</x:v>
      </x:c>
      <x:c r="C6" s="22" t="n">
        <x:v>63</x:v>
      </x:c>
      <x:c r="D6" s="22" t="n">
        <x:v>66</x:v>
      </x:c>
      <x:c r="E6" s="22" t="n">
        <x:v>5.6</x:v>
      </x:c>
    </x:row>
    <x:row r="7">
      <x:c r="A7" s="22" t="str">
        <x:v>ES-06</x:v>
      </x:c>
      <x:c r="B7" s="22" t="str">
        <x:v>Store 06</x:v>
      </x:c>
      <x:c r="C7" s="22" t="n">
        <x:v>36</x:v>
      </x:c>
      <x:c r="D7" s="22" t="n">
        <x:v>68</x:v>
      </x:c>
      <x:c r="E7" s="22" t="n">
        <x:v>4.7</x:v>
      </x:c>
    </x:row>
    <x:row r="8">
      <x:c r="A8" s="22" t="str">
        <x:v>ES-07</x:v>
      </x:c>
      <x:c r="B8" s="22" t="str">
        <x:v>Store 07</x:v>
      </x:c>
      <x:c r="C8" s="22" t="n">
        <x:v>88</x:v>
      </x:c>
      <x:c r="D8" s="22" t="n">
        <x:v>78</x:v>
      </x:c>
      <x:c r="E8" s="22" t="n">
        <x:v>5.3</x:v>
      </x:c>
    </x:row>
    <x:row r="9">
      <x:c r="A9" s="22" t="str">
        <x:v>ES-08</x:v>
      </x:c>
      <x:c r="B9" s="22" t="str">
        <x:v>Store 08</x:v>
      </x:c>
      <x:c r="C9" s="22" t="n">
        <x:v>18</x:v>
      </x:c>
      <x:c r="D9" s="22" t="n">
        <x:v>62</x:v>
      </x:c>
      <x:c r="E9" s="22" t="n">
        <x:v>3.9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0" hidden="0" customWidth="1"/>
  </x:cols>
  <x:sheetData>
    <x:row r="1">
      <x:c r="A1" s="17" t="str">
        <x:v>Competitor ID</x:v>
      </x:c>
      <x:c r="B1" s="17" t="str">
        <x:v>Map X</x:v>
      </x:c>
      <x:c r="C1" s="17" t="str">
        <x:v>Map Y</x:v>
      </x:c>
    </x:row>
    <x:row r="2">
      <x:c r="A2" s="22" t="str">
        <x:v>C-01</x:v>
      </x:c>
      <x:c r="B2" s="22" t="n">
        <x:v>22</x:v>
      </x:c>
      <x:c r="C2" s="22" t="n">
        <x:v>27</x:v>
      </x:c>
    </x:row>
    <x:row r="3">
      <x:c r="A3" s="22" t="str">
        <x:v>C-02</x:v>
      </x:c>
      <x:c r="B3" s="22" t="n">
        <x:v>41</x:v>
      </x:c>
      <x:c r="C3" s="22" t="n">
        <x:v>31</x:v>
      </x:c>
    </x:row>
    <x:row r="4">
      <x:c r="A4" s="22" t="str">
        <x:v>C-03</x:v>
      </x:c>
      <x:c r="B4" s="22" t="n">
        <x:v>71</x:v>
      </x:c>
      <x:c r="C4" s="22" t="n">
        <x:v>20</x:v>
      </x:c>
    </x:row>
    <x:row r="5">
      <x:c r="A5" s="22" t="str">
        <x:v>C-04</x:v>
      </x:c>
      <x:c r="B5" s="22" t="n">
        <x:v>66</x:v>
      </x:c>
      <x:c r="C5" s="22" t="n">
        <x:v>28</x:v>
      </x:c>
    </x:row>
    <x:row r="6">
      <x:c r="A6" s="22" t="str">
        <x:v>C-05</x:v>
      </x:c>
      <x:c r="B6" s="22" t="n">
        <x:v>81</x:v>
      </x:c>
      <x:c r="C6" s="22" t="n">
        <x:v>56</x:v>
      </x:c>
    </x:row>
    <x:row r="7">
      <x:c r="A7" s="22" t="str">
        <x:v>C-06</x:v>
      </x:c>
      <x:c r="B7" s="22" t="n">
        <x:v>87</x:v>
      </x:c>
      <x:c r="C7" s="22" t="n">
        <x:v>48</x:v>
      </x:c>
    </x:row>
    <x:row r="8">
      <x:c r="A8" s="22" t="str">
        <x:v>C-07</x:v>
      </x:c>
      <x:c r="B8" s="22" t="n">
        <x:v>51</x:v>
      </x:c>
      <x:c r="C8" s="22" t="n">
        <x:v>79</x:v>
      </x:c>
    </x:row>
    <x:row r="9">
      <x:c r="A9" s="22" t="str">
        <x:v>C-08</x:v>
      </x:c>
      <x:c r="B9" s="22" t="n">
        <x:v>29</x:v>
      </x:c>
      <x:c r="C9" s="22" t="n">
        <x:v>82</x:v>
      </x:c>
    </x:row>
    <x:row r="10">
      <x:c r="A10" s="22" t="str">
        <x:v>C-09</x:v>
      </x:c>
      <x:c r="B10" s="22" t="n">
        <x:v>74</x:v>
      </x:c>
      <x:c r="C10" s="22" t="n">
        <x:v>67</x:v>
      </x:c>
    </x:row>
    <x:row r="11">
      <x:c r="A11" s="22" t="str">
        <x:v>C-10</x:v>
      </x:c>
      <x:c r="B11" s="22" t="n">
        <x:v>92</x:v>
      </x:c>
      <x:c r="C11" s="22" t="n">
        <x:v>73</x:v>
      </x:c>
    </x:row>
    <x:row r="12">
      <x:c r="A12" s="22" t="str">
        <x:v>C-11</x:v>
      </x:c>
      <x:c r="B12" s="22" t="n">
        <x:v>58</x:v>
      </x:c>
      <x:c r="C12" s="22" t="n">
        <x:v>12</x:v>
      </x:c>
    </x:row>
    <x:row r="13">
      <x:c r="A13" s="22" t="str">
        <x:v>C-12</x:v>
      </x:c>
      <x:c r="B13" s="22" t="n">
        <x:v>14</x:v>
      </x:c>
      <x:c r="C13" s="22" t="n">
        <x:v>76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7" hidden="0" customWidth="1"/>
    <x:col min="3" max="3" width="58" hidden="0" customWidth="1"/>
  </x:cols>
  <x:sheetData>
    <x:row r="1">
      <x:c r="A1" s="17" t="str">
        <x:v>Assumption</x:v>
      </x:c>
      <x:c r="B1" s="17" t="str">
        <x:v>Value</x:v>
      </x:c>
      <x:c r="C1" s="17" t="str">
        <x:v>Interpretation</x:v>
      </x:c>
    </x:row>
    <x:row r="2">
      <x:c r="A2" s="23" t="str">
        <x:v>Conversion rate</x:v>
      </x:c>
      <x:c r="B2" s="28" t="n">
        <x:v>0.04</x:v>
      </x:c>
      <x:c r="C2" s="23" t="str">
        <x:v>Illustrative store-level conversion</x:v>
      </x:c>
    </x:row>
    <x:row r="3">
      <x:c r="A3" s="23" t="str">
        <x:v>Average basket (₹)</x:v>
      </x:c>
      <x:c r="B3" s="42" t="n">
        <x:v>470</x:v>
      </x:c>
      <x:c r="C3" s="23" t="str">
        <x:v>Illustrative average transaction value</x:v>
      </x:c>
    </x:row>
    <x:row r="4">
      <x:c r="A4" s="23" t="str">
        <x:v>Contribution margin</x:v>
      </x:c>
      <x:c r="B4" s="28" t="n">
        <x:v>0.4</x:v>
      </x:c>
      <x:c r="C4" s="23" t="str">
        <x:v>Sales contribution after variable operating costs</x:v>
      </x:c>
    </x:row>
    <x:row r="5">
      <x:c r="A5" s="23" t="str">
        <x:v>Cannibalised contribution loss</x:v>
      </x:c>
      <x:c r="B5" s="28" t="n">
        <x:v>0.18</x:v>
      </x:c>
      <x:c r="C5" s="23" t="str">
        <x:v>Contribution lost from displaced existing-store sales</x:v>
      </x:c>
    </x:row>
    <x:row r="6">
      <x:c r="A6" s="23" t="str">
        <x:v>Demand weight</x:v>
      </x:c>
      <x:c r="B6" s="28" t="n">
        <x:v>0.3</x:v>
      </x:c>
      <x:c r="C6" s="23" t="str">
        <x:v>MCDA weight</x:v>
      </x:c>
    </x:row>
    <x:row r="7">
      <x:c r="A7" s="23" t="str">
        <x:v>Economics weight</x:v>
      </x:c>
      <x:c r="B7" s="28" t="n">
        <x:v>0.25</x:v>
      </x:c>
      <x:c r="C7" s="23" t="str">
        <x:v>MCDA weight</x:v>
      </x:c>
    </x:row>
    <x:row r="8">
      <x:c r="A8" s="23" t="str">
        <x:v>Competition weight</x:v>
      </x:c>
      <x:c r="B8" s="28" t="n">
        <x:v>0.15</x:v>
      </x:c>
      <x:c r="C8" s="23" t="str">
        <x:v>MCDA weight</x:v>
      </x:c>
    </x:row>
    <x:row r="9">
      <x:c r="A9" s="23" t="str">
        <x:v>Accessibility weight</x:v>
      </x:c>
      <x:c r="B9" s="28" t="n">
        <x:v>0.15</x:v>
      </x:c>
      <x:c r="C9" s="23" t="str">
        <x:v>MCDA weight</x:v>
      </x:c>
    </x:row>
    <x:row r="10">
      <x:c r="A10" s="23" t="str">
        <x:v>Network protection weight</x:v>
      </x:c>
      <x:c r="B10" s="28" t="n">
        <x:v>0.15</x:v>
      </x:c>
      <x:c r="C10" s="23" t="str">
        <x:v>MCDA weight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1" hidden="0" customWidth="1"/>
    <x:col min="4" max="4" width="12" hidden="0" customWidth="1"/>
    <x:col min="5" max="5" width="12" hidden="0" customWidth="1"/>
    <x:col min="6" max="6" width="10" hidden="0" customWidth="1"/>
    <x:col min="7" max="7" width="11" hidden="0" customWidth="1"/>
    <x:col min="8" max="8" width="13" hidden="0" customWidth="1"/>
    <x:col min="9" max="9" width="16" hidden="0" customWidth="1"/>
    <x:col min="10" max="10" width="15" hidden="0" customWidth="1"/>
    <x:col min="11" max="11" width="20" hidden="0" customWidth="1"/>
    <x:col min="12" max="12" width="18" hidden="0" customWidth="1"/>
    <x:col min="13" max="13" width="24" hidden="0" customWidth="1"/>
    <x:col min="14" max="14" width="10" hidden="0" customWidth="1"/>
    <x:col min="15" max="15" width="13" hidden="0" customWidth="1"/>
    <x:col min="16" max="16" width="12" hidden="0" customWidth="1"/>
    <x:col min="17" max="17" width="11" hidden="0" customWidth="1"/>
  </x:cols>
  <x:sheetData>
    <x:row r="1">
      <x:c r="A1" s="38" t="str">
        <x:v>Rank</x:v>
      </x:c>
      <x:c r="B1" s="38" t="str">
        <x:v>Site</x:v>
      </x:c>
      <x:c r="C1" s="38" t="str">
        <x:v>Demand</x:v>
      </x:c>
      <x:c r="D1" s="38" t="str">
        <x:v>Economics</x:v>
      </x:c>
      <x:c r="E1" s="38" t="str">
        <x:v>Competition</x:v>
      </x:c>
      <x:c r="F1" s="38" t="str">
        <x:v>Access</x:v>
      </x:c>
      <x:c r="G1" s="38" t="str">
        <x:v>Network</x:v>
      </x:c>
      <x:c r="H1" s="38" t="str">
        <x:v>Opportunity</x:v>
      </x:c>
      <x:c r="I1" s="38" t="str">
        <x:v>Est. Sales (₹ Cr)</x:v>
      </x:c>
      <x:c r="J1" s="38" t="str">
        <x:v>Cannibalisation</x:v>
      </x:c>
      <x:c r="K1" s="38" t="str">
        <x:v>Gross Contribution (₹ Cr)</x:v>
      </x:c>
      <x:c r="L1" s="38" t="str">
        <x:v>Cannib. Loss (₹ Cr)</x:v>
      </x:c>
      <x:c r="M1" s="38" t="str">
        <x:v>Net Incremental Value (₹ Cr)</x:v>
      </x:c>
      <x:c r="N1" s="38" t="str">
        <x:v>ROI</x:v>
      </x:c>
      <x:c r="O1" s="38" t="str">
        <x:v>Payback (mo)</x:v>
      </x:c>
      <x:c r="P1" s="38" t="str">
        <x:v>Confidence</x:v>
      </x:c>
      <x:c r="Q1" s="38" t="str">
        <x:v>Status</x:v>
      </x:c>
    </x:row>
    <x:row r="2">
      <x:c r="A2" s="23" t="n">
        <x:f>RANK(M2,$M$2:$M$7,0)</x:f>
        <x:v>6</x:v>
      </x:c>
      <x:c r="B2" s="23" t="str">
        <x:f>'Candidate Inputs'!B2</x:f>
        <x:v>Northgate</x:v>
      </x:c>
      <x:c r="C2" s="30" t="n">
        <x:f>0.55*(('Candidate Inputs'!G2-MIN('Candidate Inputs'!$G$2:$G$7))/(MAX('Candidate Inputs'!$G$2:$G$7)-MIN('Candidate Inputs'!$G$2:$G$7)))+0.45*(('Candidate Inputs'!F2-MIN('Candidate Inputs'!$F$2:$F$7))/(MAX('Candidate Inputs'!$F$2:$F$7)-MIN('Candidate Inputs'!$F$2:$F$7)))</x:f>
        <x:v>0.31895604395604393</x:v>
      </x:c>
      <x:c r="D2" s="30" t="n">
        <x:f>MAX(0,1-(('Candidate Inputs'!J2/I2)/0.30))</x:f>
        <x:v>0.3084566641838573</x:v>
      </x:c>
      <x:c r="E2" s="30" t="n">
        <x:f>1-MIN(1,0.75*('Candidate Inputs'!H2/7)+0.25*(1-MIN('Candidate Inputs'!I2,3.2)/3.2))</x:f>
        <x:v>0.3917410714285714</x:v>
      </x:c>
      <x:c r="F2" s="30" t="n">
        <x:f>(0.45*'Candidate Inputs'!K2+0.30*'Candidate Inputs'!L2+0.10*'Candidate Inputs'!M2+0.15*'Candidate Inputs'!N2)/100</x:f>
        <x:v>0.867</x:v>
      </x:c>
      <x:c r="G2" s="30" t="n">
        <x:f>1-J2/0.30</x:f>
        <x:v>0.5588251880799593</x:v>
      </x:c>
      <x:c r="H2" s="30" t="n">
        <x:f>Assumptions!$B$6*C2+Assumptions!$B$7*D2+Assumptions!$B$8*E2+Assumptions!$B$9*F2+Assumptions!$B$10*G2</x:f>
        <x:v>0.4454359181590571</x:v>
      </x:c>
      <x:c r="I2" s="26" t="n">
        <x:f>('Candidate Inputs'!G2*('Candidate Inputs'!F2/MEDIAN('Candidate Inputs'!$F$2:$F$7)))*Assumptions!$B$2*Assumptions!$B$3*365/10000000</x:f>
        <x:v>4.434525658536585</x:v>
      </x:c>
      <x:c r="J2" s="28" t="n">
        <x:f>MIN(0.30,0.075*((EXP(-MAX(0.7,SQRT(('Candidate Inputs'!C2-'Existing Stores'!C2)^2+('Candidate Inputs'!D2-'Existing Stores'!D2)^2)*0.08)/2.4)*('Existing Stores'!E2/MAX('Existing Stores'!$E$2:$E$9)))+(EXP(-MAX(0.7,SQRT(('Candidate Inputs'!C2-'Existing Stores'!C3)^2+('Candidate Inputs'!D2-'Existing Stores'!D3)^2)*0.08)/2.4)*('Existing Stores'!E3/MAX('Existing Stores'!$E$2:$E$9)))+(EXP(-MAX(0.7,SQRT(('Candidate Inputs'!C2-'Existing Stores'!C4)^2+('Candidate Inputs'!D2-'Existing Stores'!D4)^2)*0.08)/2.4)*('Existing Stores'!E4/MAX('Existing Stores'!$E$2:$E$9)))+(EXP(-MAX(0.7,SQRT(('Candidate Inputs'!C2-'Existing Stores'!C5)^2+('Candidate Inputs'!D2-'Existing Stores'!D5)^2)*0.08)/2.4)*('Existing Stores'!E5/MAX('Existing Stores'!$E$2:$E$9)))+(EXP(-MAX(0.7,SQRT(('Candidate Inputs'!C2-'Existing Stores'!C6)^2+('Candidate Inputs'!D2-'Existing Stores'!D6)^2)*0.08)/2.4)*('Existing Stores'!E6/MAX('Existing Stores'!$E$2:$E$9)))+(EXP(-MAX(0.7,SQRT(('Candidate Inputs'!C2-'Existing Stores'!C7)^2+('Candidate Inputs'!D2-'Existing Stores'!D7)^2)*0.08)/2.4)*('Existing Stores'!E7/MAX('Existing Stores'!$E$2:$E$9)))+(EXP(-MAX(0.7,SQRT(('Candidate Inputs'!C2-'Existing Stores'!C8)^2+('Candidate Inputs'!D2-'Existing Stores'!D8)^2)*0.08)/2.4)*('Existing Stores'!E8/MAX('Existing Stores'!$E$2:$E$9)))+(EXP(-MAX(0.7,SQRT(('Candidate Inputs'!C2-'Existing Stores'!C9)^2+('Candidate Inputs'!D2-'Existing Stores'!D9)^2)*0.08)/2.4)*('Existing Stores'!E9/MAX('Existing Stores'!$E$2:$E$9)))))</x:f>
        <x:v>0.13235244357601222</x:v>
      </x:c>
      <x:c r="K2" s="26" t="n">
        <x:f>I2*Assumptions!$B$4-'Candidate Inputs'!J2</x:f>
        <x:v>0.8538102634146342</x:v>
      </x:c>
      <x:c r="L2" s="26" t="n">
        <x:f>I2*J2*Assumptions!$B$5</x:f>
        <x:v>0.10564565526141152</x:v>
      </x:c>
      <x:c r="M2" s="26" t="n">
        <x:f>K2-L2</x:f>
        <x:v>0.7481646081532226</x:v>
      </x:c>
      <x:c r="N2" s="28" t="n">
        <x:f>M2/'Candidate Inputs'!P2</x:f>
        <x:v>0.19688542319821647</x:v>
      </x:c>
      <x:c r="O2" s="30" t="n">
        <x:f>IF(M2&gt;0,'Candidate Inputs'!P2/M2*12,"")</x:f>
        <x:v>60.9491541073555</x:v>
      </x:c>
      <x:c r="P2" s="30" t="n">
        <x:f>MAX(58,MIN(91,85-('Candidate Inputs'!H2-1)*1.5-MAX(0,'Candidate Inputs'!J2-0.9)*7-J2*15))</x:f>
        <x:v>78.37471334635981</x:v>
      </x:c>
      <x:c r="Q2" s="23" t="str">
        <x:f>IF(AND(M2&gt;=0.95,N2&gt;=0.25),"OPEN",IF(M2&gt;=0.55,"VALIDATE","REJECT"))</x:f>
        <x:v>VALIDATE</x:v>
      </x:c>
    </x:row>
    <x:row r="3">
      <x:c r="A3" s="23" t="n">
        <x:f>RANK(M3,$M$2:$M$7,0)</x:f>
        <x:v>1</x:v>
      </x:c>
      <x:c r="B3" s="23" t="str">
        <x:f>'Candidate Inputs'!B3</x:f>
        <x:v>Civic Square</x:v>
      </x:c>
      <x:c r="C3" s="30" t="n">
        <x:f>0.55*(('Candidate Inputs'!G3-MIN('Candidate Inputs'!$G$2:$G$7))/(MAX('Candidate Inputs'!$G$2:$G$7)-MIN('Candidate Inputs'!$G$2:$G$7)))+0.45*(('Candidate Inputs'!F3-MIN('Candidate Inputs'!$F$2:$F$7))/(MAX('Candidate Inputs'!$F$2:$F$7)-MIN('Candidate Inputs'!$F$2:$F$7)))</x:f>
        <x:v>0.5067307692307692</x:v>
      </x:c>
      <x:c r="D3" s="30" t="n">
        <x:f>MAX(0,1-(('Candidate Inputs'!J3/I3)/0.30))</x:f>
        <x:v>0.5298175092078139</x:v>
      </x:c>
      <x:c r="E3" s="30" t="n">
        <x:f>1-MIN(1,0.75*('Candidate Inputs'!H3/7)+0.25*(1-MIN('Candidate Inputs'!I3,3.2)/3.2))</x:f>
        <x:v>0.6763392857142857</x:v>
      </x:c>
      <x:c r="F3" s="30" t="n">
        <x:f>(0.45*'Candidate Inputs'!K3+0.30*'Candidate Inputs'!L3+0.10*'Candidate Inputs'!M3+0.15*'Candidate Inputs'!N3)/100</x:f>
        <x:v>0.9220000000000002</x:v>
      </x:c>
      <x:c r="G3" s="30" t="n">
        <x:f>1-J3/0.30</x:f>
        <x:v>0.42414862077752347</x:v>
      </x:c>
      <x:c r="H3" s="30" t="n">
        <x:f>Assumptions!$B$6*C3+Assumptions!$B$7*D3+Assumptions!$B$8*E3+Assumptions!$B$9*F3+Assumptions!$B$10*G3</x:f>
        <x:v>0.5878467940449557</x:v>
      </x:c>
      <x:c r="I3" s="26" t="n">
        <x:f>('Candidate Inputs'!G3*('Candidate Inputs'!F3/MEDIAN('Candidate Inputs'!$F$2:$F$7)))*Assumptions!$B$2*Assumptions!$B$3*365/10000000</x:f>
        <x:v>5.529767804878048</x:v>
      </x:c>
      <x:c r="J3" s="28" t="n">
        <x:f>MIN(0.30,0.075*((EXP(-MAX(0.7,SQRT(('Candidate Inputs'!C3-'Existing Stores'!C2)^2+('Candidate Inputs'!D3-'Existing Stores'!D2)^2)*0.08)/2.4)*('Existing Stores'!E2/MAX('Existing Stores'!$E$2:$E$9)))+(EXP(-MAX(0.7,SQRT(('Candidate Inputs'!C3-'Existing Stores'!C3)^2+('Candidate Inputs'!D3-'Existing Stores'!D3)^2)*0.08)/2.4)*('Existing Stores'!E3/MAX('Existing Stores'!$E$2:$E$9)))+(EXP(-MAX(0.7,SQRT(('Candidate Inputs'!C3-'Existing Stores'!C4)^2+('Candidate Inputs'!D3-'Existing Stores'!D4)^2)*0.08)/2.4)*('Existing Stores'!E4/MAX('Existing Stores'!$E$2:$E$9)))+(EXP(-MAX(0.7,SQRT(('Candidate Inputs'!C3-'Existing Stores'!C5)^2+('Candidate Inputs'!D3-'Existing Stores'!D5)^2)*0.08)/2.4)*('Existing Stores'!E5/MAX('Existing Stores'!$E$2:$E$9)))+(EXP(-MAX(0.7,SQRT(('Candidate Inputs'!C3-'Existing Stores'!C6)^2+('Candidate Inputs'!D3-'Existing Stores'!D6)^2)*0.08)/2.4)*('Existing Stores'!E6/MAX('Existing Stores'!$E$2:$E$9)))+(EXP(-MAX(0.7,SQRT(('Candidate Inputs'!C3-'Existing Stores'!C7)^2+('Candidate Inputs'!D3-'Existing Stores'!D7)^2)*0.08)/2.4)*('Existing Stores'!E7/MAX('Existing Stores'!$E$2:$E$9)))+(EXP(-MAX(0.7,SQRT(('Candidate Inputs'!C3-'Existing Stores'!C8)^2+('Candidate Inputs'!D3-'Existing Stores'!D8)^2)*0.08)/2.4)*('Existing Stores'!E8/MAX('Existing Stores'!$E$2:$E$9)))+(EXP(-MAX(0.7,SQRT(('Candidate Inputs'!C3-'Existing Stores'!C9)^2+('Candidate Inputs'!D3-'Existing Stores'!D9)^2)*0.08)/2.4)*('Existing Stores'!E9/MAX('Existing Stores'!$E$2:$E$9)))))</x:f>
        <x:v>0.17275541376674294</x:v>
      </x:c>
      <x:c r="K3" s="26" t="n">
        <x:f>I3*Assumptions!$B$4-'Candidate Inputs'!J3</x:f>
        <x:v>1.4319071219512194</x:v>
      </x:c>
      <x:c r="L3" s="26" t="n">
        <x:f>I3*J3*Assumptions!$B$5</x:f>
        <x:v>0.1719535185298298</x:v>
      </x:c>
      <x:c r="M3" s="26" t="n">
        <x:f>K3-L3</x:f>
        <x:v>1.2599536034213896</x:v>
      </x:c>
      <x:c r="N3" s="28" t="n">
        <x:f>M3/'Candidate Inputs'!P3</x:f>
        <x:v>0.35998674383468277</x:v>
      </x:c>
      <x:c r="O3" s="30" t="n">
        <x:f>IF(M3&gt;0,'Candidate Inputs'!P3/M3*12,"")</x:f>
        <x:v>33.33456080124655</x:v>
      </x:c>
      <x:c r="P3" s="30" t="n">
        <x:f>MAX(58,MIN(91,85-('Candidate Inputs'!H3-1)*1.5-MAX(0,'Candidate Inputs'!J3-0.9)*7-J3*15))</x:f>
        <x:v>80.90866879349886</x:v>
      </x:c>
      <x:c r="Q3" s="23" t="str">
        <x:f>IF(AND(M3&gt;=0.95,N3&gt;=0.25),"OPEN",IF(M3&gt;=0.55,"VALIDATE","REJECT"))</x:f>
        <x:v>OPEN</x:v>
      </x:c>
    </x:row>
    <x:row r="4">
      <x:c r="A4" s="23" t="n">
        <x:f>RANK(M4,$M$2:$M$7,0)</x:f>
        <x:v>5</x:v>
      </x:c>
      <x:c r="B4" s="23" t="str">
        <x:f>'Candidate Inputs'!B4</x:f>
        <x:v>Riverside</x:v>
      </x:c>
      <x:c r="C4" s="30" t="n">
        <x:f>0.55*(('Candidate Inputs'!G4-MIN('Candidate Inputs'!$G$2:$G$7))/(MAX('Candidate Inputs'!$G$2:$G$7)-MIN('Candidate Inputs'!$G$2:$G$7)))+0.45*(('Candidate Inputs'!F4-MIN('Candidate Inputs'!$F$2:$F$7))/(MAX('Candidate Inputs'!$F$2:$F$7)-MIN('Candidate Inputs'!$F$2:$F$7)))</x:f>
        <x:v>0.5846153846153846</x:v>
      </x:c>
      <x:c r="D4" s="30" t="n">
        <x:f>MAX(0,1-(('Candidate Inputs'!J4/I4)/0.30))</x:f>
        <x:v>0.26009699035056055</x:v>
      </x:c>
      <x:c r="E4" s="30" t="n">
        <x:f>1-MIN(1,0.75*('Candidate Inputs'!H4/7)+0.25*(1-MIN('Candidate Inputs'!I4,3.2)/3.2))</x:f>
        <x:v>0.2611607142857143</x:v>
      </x:c>
      <x:c r="F4" s="30" t="n">
        <x:f>(0.45*'Candidate Inputs'!K4+0.30*'Candidate Inputs'!L4+0.10*'Candidate Inputs'!M4+0.15*'Candidate Inputs'!N4)/100</x:f>
        <x:v>0.805</x:v>
      </x:c>
      <x:c r="G4" s="30" t="n">
        <x:f>1-J4/0.30</x:f>
        <x:v>0.5278101959785244</x:v>
      </x:c>
      <x:c r="H4" s="30" t="n">
        <x:f>Assumptions!$B$6*C4+Assumptions!$B$7*D4+Assumptions!$B$8*E4+Assumptions!$B$9*F4+Assumptions!$B$10*G4</x:f>
        <x:v>0.47950449951189134</x:v>
      </x:c>
      <x:c r="I4" s="26" t="n">
        <x:f>('Candidate Inputs'!G4*('Candidate Inputs'!F4/MEDIAN('Candidate Inputs'!$F$2:$F$7)))*Assumptions!$B$2*Assumptions!$B$3*365/10000000</x:f>
        <x:v>6.126929170731707</x:v>
      </x:c>
      <x:c r="J4" s="28" t="n">
        <x:f>MIN(0.30,0.075*((EXP(-MAX(0.7,SQRT(('Candidate Inputs'!C4-'Existing Stores'!C2)^2+('Candidate Inputs'!D4-'Existing Stores'!D2)^2)*0.08)/2.4)*('Existing Stores'!E2/MAX('Existing Stores'!$E$2:$E$9)))+(EXP(-MAX(0.7,SQRT(('Candidate Inputs'!C4-'Existing Stores'!C3)^2+('Candidate Inputs'!D4-'Existing Stores'!D3)^2)*0.08)/2.4)*('Existing Stores'!E3/MAX('Existing Stores'!$E$2:$E$9)))+(EXP(-MAX(0.7,SQRT(('Candidate Inputs'!C4-'Existing Stores'!C4)^2+('Candidate Inputs'!D4-'Existing Stores'!D4)^2)*0.08)/2.4)*('Existing Stores'!E4/MAX('Existing Stores'!$E$2:$E$9)))+(EXP(-MAX(0.7,SQRT(('Candidate Inputs'!C4-'Existing Stores'!C5)^2+('Candidate Inputs'!D4-'Existing Stores'!D5)^2)*0.08)/2.4)*('Existing Stores'!E5/MAX('Existing Stores'!$E$2:$E$9)))+(EXP(-MAX(0.7,SQRT(('Candidate Inputs'!C4-'Existing Stores'!C6)^2+('Candidate Inputs'!D4-'Existing Stores'!D6)^2)*0.08)/2.4)*('Existing Stores'!E6/MAX('Existing Stores'!$E$2:$E$9)))+(EXP(-MAX(0.7,SQRT(('Candidate Inputs'!C4-'Existing Stores'!C7)^2+('Candidate Inputs'!D4-'Existing Stores'!D7)^2)*0.08)/2.4)*('Existing Stores'!E7/MAX('Existing Stores'!$E$2:$E$9)))+(EXP(-MAX(0.7,SQRT(('Candidate Inputs'!C4-'Existing Stores'!C8)^2+('Candidate Inputs'!D4-'Existing Stores'!D8)^2)*0.08)/2.4)*('Existing Stores'!E8/MAX('Existing Stores'!$E$2:$E$9)))+(EXP(-MAX(0.7,SQRT(('Candidate Inputs'!C4-'Existing Stores'!C9)^2+('Candidate Inputs'!D4-'Existing Stores'!D9)^2)*0.08)/2.4)*('Existing Stores'!E9/MAX('Existing Stores'!$E$2:$E$9)))))</x:f>
        <x:v>0.14165694120644268</x:v>
      </x:c>
      <x:c r="K4" s="26" t="n">
        <x:f>I4*Assumptions!$B$4-'Candidate Inputs'!J4</x:f>
        <x:v>1.090771668292683</x:v>
      </x:c>
      <x:c r="L4" s="26" t="n">
        <x:f>I4*J4*Assumptions!$B$5</x:f>
        <x:v>0.1562259681565884</x:v>
      </x:c>
      <x:c r="M4" s="26" t="n">
        <x:f>K4-L4</x:f>
        <x:v>0.9345457001360945</x:v>
      </x:c>
      <x:c r="N4" s="28" t="n">
        <x:f>M4/'Candidate Inputs'!P4</x:f>
        <x:v>0.20316210872523796</x:v>
      </x:c>
      <x:c r="O4" s="30" t="n">
        <x:f>IF(M4&gt;0,'Candidate Inputs'!P4/M4*12,"")</x:f>
        <x:v>59.06613233784225</x:v>
      </x:c>
      <x:c r="P4" s="30" t="n">
        <x:f>MAX(58,MIN(91,85-('Candidate Inputs'!H4-1)*1.5-MAX(0,'Candidate Inputs'!J4-0.9)*7-J4*15))</x:f>
        <x:v>73.65514588190337</x:v>
      </x:c>
      <x:c r="Q4" s="23" t="str">
        <x:f>IF(AND(M4&gt;=0.95,N4&gt;=0.25),"OPEN",IF(M4&gt;=0.55,"VALIDATE","REJECT"))</x:f>
        <x:v>VALIDATE</x:v>
      </x:c>
    </x:row>
    <x:row r="5">
      <x:c r="A5" s="23" t="n">
        <x:f>RANK(M5,$M$2:$M$7,0)</x:f>
        <x:v>4</x:v>
      </x:c>
      <x:c r="B5" s="23" t="str">
        <x:f>'Candidate Inputs'!B5</x:f>
        <x:v>East Market</x:v>
      </x:c>
      <x:c r="C5" s="30" t="n">
        <x:f>0.55*(('Candidate Inputs'!G5-MIN('Candidate Inputs'!$G$2:$G$7))/(MAX('Candidate Inputs'!$G$2:$G$7)-MIN('Candidate Inputs'!$G$2:$G$7)))+0.45*(('Candidate Inputs'!F5-MIN('Candidate Inputs'!$F$2:$F$7))/(MAX('Candidate Inputs'!$F$2:$F$7)-MIN('Candidate Inputs'!$F$2:$F$7)))</x:f>
        <x:v>0.55</x:v>
      </x:c>
      <x:c r="D5" s="30" t="n">
        <x:f>MAX(0,1-(('Candidate Inputs'!J5/I5)/0.30))</x:f>
        <x:v>0.3942986870011542</x:v>
      </x:c>
      <x:c r="E5" s="30" t="n">
        <x:f>1-MIN(1,0.75*('Candidate Inputs'!H5/7)+0.25*(1-MIN('Candidate Inputs'!I5,3.2)/3.2))</x:f>
        <x:v>0.03125</x:v>
      </x:c>
      <x:c r="F5" s="30" t="n">
        <x:f>(0.45*'Candidate Inputs'!K5+0.30*'Candidate Inputs'!L5+0.10*'Candidate Inputs'!M5+0.15*'Candidate Inputs'!N5)/100</x:f>
        <x:v>0.831</x:v>
      </x:c>
      <x:c r="G5" s="30" t="n">
        <x:f>1-J5/0.30</x:f>
        <x:v>0.512953548421736</x:v>
      </x:c>
      <x:c r="H5" s="30" t="n">
        <x:f>Assumptions!$B$6*C5+Assumptions!$B$7*D5+Assumptions!$B$8*E5+Assumptions!$B$9*F5+Assumptions!$B$10*G5</x:f>
        <x:v>0.46985520401354897</x:v>
      </x:c>
      <x:c r="I5" s="26" t="n">
        <x:f>('Candidate Inputs'!G5*('Candidate Inputs'!F5/MEDIAN('Candidate Inputs'!$F$2:$F$7)))*Assumptions!$B$2*Assumptions!$B$3*365/10000000</x:f>
        <x:v>5.393197268292683</x:v>
      </x:c>
      <x:c r="J5" s="28" t="n">
        <x:f>MIN(0.30,0.075*((EXP(-MAX(0.7,SQRT(('Candidate Inputs'!C5-'Existing Stores'!C2)^2+('Candidate Inputs'!D5-'Existing Stores'!D2)^2)*0.08)/2.4)*('Existing Stores'!E2/MAX('Existing Stores'!$E$2:$E$9)))+(EXP(-MAX(0.7,SQRT(('Candidate Inputs'!C5-'Existing Stores'!C3)^2+('Candidate Inputs'!D5-'Existing Stores'!D3)^2)*0.08)/2.4)*('Existing Stores'!E3/MAX('Existing Stores'!$E$2:$E$9)))+(EXP(-MAX(0.7,SQRT(('Candidate Inputs'!C5-'Existing Stores'!C4)^2+('Candidate Inputs'!D5-'Existing Stores'!D4)^2)*0.08)/2.4)*('Existing Stores'!E4/MAX('Existing Stores'!$E$2:$E$9)))+(EXP(-MAX(0.7,SQRT(('Candidate Inputs'!C5-'Existing Stores'!C5)^2+('Candidate Inputs'!D5-'Existing Stores'!D5)^2)*0.08)/2.4)*('Existing Stores'!E5/MAX('Existing Stores'!$E$2:$E$9)))+(EXP(-MAX(0.7,SQRT(('Candidate Inputs'!C5-'Existing Stores'!C6)^2+('Candidate Inputs'!D5-'Existing Stores'!D6)^2)*0.08)/2.4)*('Existing Stores'!E6/MAX('Existing Stores'!$E$2:$E$9)))+(EXP(-MAX(0.7,SQRT(('Candidate Inputs'!C5-'Existing Stores'!C7)^2+('Candidate Inputs'!D5-'Existing Stores'!D7)^2)*0.08)/2.4)*('Existing Stores'!E7/MAX('Existing Stores'!$E$2:$E$9)))+(EXP(-MAX(0.7,SQRT(('Candidate Inputs'!C5-'Existing Stores'!C8)^2+('Candidate Inputs'!D5-'Existing Stores'!D8)^2)*0.08)/2.4)*('Existing Stores'!E8/MAX('Existing Stores'!$E$2:$E$9)))+(EXP(-MAX(0.7,SQRT(('Candidate Inputs'!C5-'Existing Stores'!C9)^2+('Candidate Inputs'!D5-'Existing Stores'!D9)^2)*0.08)/2.4)*('Existing Stores'!E9/MAX('Existing Stores'!$E$2:$E$9)))))</x:f>
        <x:v>0.1461139354734792</x:v>
      </x:c>
      <x:c r="K5" s="26" t="n">
        <x:f>I5*Assumptions!$B$4-'Candidate Inputs'!J5</x:f>
        <x:v>1.1772789073170733</x:v>
      </x:c>
      <x:c r="L5" s="26" t="n">
        <x:f>I5*J5*Assumptions!$B$5</x:f>
        <x:v>0.14184382997791103</x:v>
      </x:c>
      <x:c r="M5" s="26" t="n">
        <x:f>K5-L5</x:f>
        <x:v>1.0354350773391623</x:v>
      </x:c>
      <x:c r="N5" s="28" t="n">
        <x:f>M5/'Candidate Inputs'!P5</x:f>
        <x:v>0.2654961736767083</x:v>
      </x:c>
      <x:c r="O5" s="30" t="n">
        <x:f>IF(M5&gt;0,'Candidate Inputs'!P5/M5*12,"")</x:f>
        <x:v>45.19839150153729</x:v>
      </x:c>
      <x:c r="P5" s="30" t="n">
        <x:f>MAX(58,MIN(91,85-('Candidate Inputs'!H5-1)*1.5-MAX(0,'Candidate Inputs'!J5-0.9)*7-J5*15))</x:f>
        <x:v>73.24829096789782</x:v>
      </x:c>
      <x:c r="Q5" s="23" t="str">
        <x:f>IF(AND(M5&gt;=0.95,N5&gt;=0.25),"OPEN",IF(M5&gt;=0.55,"VALIDATE","REJECT"))</x:f>
        <x:v>OPEN</x:v>
      </x:c>
    </x:row>
    <x:row r="6">
      <x:c r="A6" s="23" t="n">
        <x:f>RANK(M6,$M$2:$M$7,0)</x:f>
        <x:v>3</x:v>
      </x:c>
      <x:c r="B6" s="23" t="str">
        <x:f>'Candidate Inputs'!B6</x:f>
        <x:v>Tech Park</x:v>
      </x:c>
      <x:c r="C6" s="30" t="n">
        <x:f>0.55*(('Candidate Inputs'!G6-MIN('Candidate Inputs'!$G$2:$G$7))/(MAX('Candidate Inputs'!$G$2:$G$7)-MIN('Candidate Inputs'!$G$2:$G$7)))+0.45*(('Candidate Inputs'!F6-MIN('Candidate Inputs'!$F$2:$F$7))/(MAX('Candidate Inputs'!$F$2:$F$7)-MIN('Candidate Inputs'!$F$2:$F$7)))</x:f>
        <x:v>0.45</x:v>
      </x:c>
      <x:c r="D6" s="30" t="n">
        <x:f>MAX(0,1-(('Candidate Inputs'!J6/I6)/0.30))</x:f>
        <x:v>0.49705939213371453</x:v>
      </x:c>
      <x:c r="E6" s="30" t="n">
        <x:f>1-MIN(1,0.75*('Candidate Inputs'!H6/7)+0.25*(1-MIN('Candidate Inputs'!I6,3.2)/3.2))</x:f>
        <x:v>0.8928571428571429</x:v>
      </x:c>
      <x:c r="F6" s="30" t="n">
        <x:f>(0.45*'Candidate Inputs'!K6+0.30*'Candidate Inputs'!L6+0.10*'Candidate Inputs'!M6+0.15*'Candidate Inputs'!N6)/100</x:f>
        <x:v>0.875</x:v>
      </x:c>
      <x:c r="G6" s="30" t="n">
        <x:f>1-J6/0.30</x:f>
        <x:v>0.4860926949592126</x:v>
      </x:c>
      <x:c r="H6" s="30" t="n">
        <x:f>Assumptions!$B$6*C6+Assumptions!$B$7*D6+Assumptions!$B$8*E6+Assumptions!$B$9*F6+Assumptions!$B$10*G6</x:f>
        <x:v>0.5973573237058819</x:v>
      </x:c>
      <x:c r="I6" s="26" t="n">
        <x:f>('Candidate Inputs'!G6*('Candidate Inputs'!F6/MEDIAN('Candidate Inputs'!$F$2:$F$7)))*Assumptions!$B$2*Assumptions!$B$3*365/10000000</x:f>
        <x:v>4.771935219512196</x:v>
      </x:c>
      <x:c r="J6" s="28" t="n">
        <x:f>MIN(0.30,0.075*((EXP(-MAX(0.7,SQRT(('Candidate Inputs'!C6-'Existing Stores'!C2)^2+('Candidate Inputs'!D6-'Existing Stores'!D2)^2)*0.08)/2.4)*('Existing Stores'!E2/MAX('Existing Stores'!$E$2:$E$9)))+(EXP(-MAX(0.7,SQRT(('Candidate Inputs'!C6-'Existing Stores'!C3)^2+('Candidate Inputs'!D6-'Existing Stores'!D3)^2)*0.08)/2.4)*('Existing Stores'!E3/MAX('Existing Stores'!$E$2:$E$9)))+(EXP(-MAX(0.7,SQRT(('Candidate Inputs'!C6-'Existing Stores'!C4)^2+('Candidate Inputs'!D6-'Existing Stores'!D4)^2)*0.08)/2.4)*('Existing Stores'!E4/MAX('Existing Stores'!$E$2:$E$9)))+(EXP(-MAX(0.7,SQRT(('Candidate Inputs'!C6-'Existing Stores'!C5)^2+('Candidate Inputs'!D6-'Existing Stores'!D5)^2)*0.08)/2.4)*('Existing Stores'!E5/MAX('Existing Stores'!$E$2:$E$9)))+(EXP(-MAX(0.7,SQRT(('Candidate Inputs'!C6-'Existing Stores'!C6)^2+('Candidate Inputs'!D6-'Existing Stores'!D6)^2)*0.08)/2.4)*('Existing Stores'!E6/MAX('Existing Stores'!$E$2:$E$9)))+(EXP(-MAX(0.7,SQRT(('Candidate Inputs'!C6-'Existing Stores'!C7)^2+('Candidate Inputs'!D6-'Existing Stores'!D7)^2)*0.08)/2.4)*('Existing Stores'!E7/MAX('Existing Stores'!$E$2:$E$9)))+(EXP(-MAX(0.7,SQRT(('Candidate Inputs'!C6-'Existing Stores'!C8)^2+('Candidate Inputs'!D6-'Existing Stores'!D8)^2)*0.08)/2.4)*('Existing Stores'!E8/MAX('Existing Stores'!$E$2:$E$9)))+(EXP(-MAX(0.7,SQRT(('Candidate Inputs'!C6-'Existing Stores'!C9)^2+('Candidate Inputs'!D6-'Existing Stores'!D9)^2)*0.08)/2.4)*('Existing Stores'!E9/MAX('Existing Stores'!$E$2:$E$9)))))</x:f>
        <x:v>0.1541721915122362</x:v>
      </x:c>
      <x:c r="K6" s="26" t="n">
        <x:f>I6*Assumptions!$B$4-'Candidate Inputs'!J6</x:f>
        <x:v>1.1887740878048785</x:v>
      </x:c>
      <x:c r="L6" s="26" t="n">
        <x:f>I6*J6*Assumptions!$B$5</x:f>
        <x:v>0.13242594789839146</x:v>
      </x:c>
      <x:c r="M6" s="26" t="n">
        <x:f>K6-L6</x:f>
        <x:v>1.0563481399064871</x:v>
      </x:c>
      <x:c r="N6" s="28" t="n">
        <x:f>M6/'Candidate Inputs'!P6</x:f>
        <x:v>0.34075746448596356</x:v>
      </x:c>
      <x:c r="O6" s="30" t="n">
        <x:f>IF(M6&gt;0,'Candidate Inputs'!P6/M6*12,"")</x:f>
        <x:v>35.21566290001052</x:v>
      </x:c>
      <x:c r="P6" s="30" t="n">
        <x:f>MAX(58,MIN(91,85-('Candidate Inputs'!H6-1)*1.5-MAX(0,'Candidate Inputs'!J6-0.9)*7-J6*15))</x:f>
        <x:v>82.68741712731645</x:v>
      </x:c>
      <x:c r="Q6" s="23" t="str">
        <x:f>IF(AND(M6&gt;=0.95,N6&gt;=0.25),"OPEN",IF(M6&gt;=0.55,"VALIDATE","REJECT"))</x:f>
        <x:v>OPEN</x:v>
      </x:c>
    </x:row>
    <x:row r="7">
      <x:c r="A7" s="23" t="n">
        <x:f>RANK(M7,$M$2:$M$7,0)</x:f>
        <x:v>2</x:v>
      </x:c>
      <x:c r="B7" s="23" t="str">
        <x:f>'Candidate Inputs'!B7</x:f>
        <x:v>Lakeview</x:v>
      </x:c>
      <x:c r="C7" s="30" t="n">
        <x:f>0.55*(('Candidate Inputs'!G7-MIN('Candidate Inputs'!$G$2:$G$7))/(MAX('Candidate Inputs'!$G$2:$G$7)-MIN('Candidate Inputs'!$G$2:$G$7)))+0.45*(('Candidate Inputs'!F7-MIN('Candidate Inputs'!$F$2:$F$7))/(MAX('Candidate Inputs'!$F$2:$F$7)-MIN('Candidate Inputs'!$F$2:$F$7)))</x:f>
        <x:v>0.3595467032967033</x:v>
      </x:c>
      <x:c r="D7" s="30" t="n">
        <x:f>MAX(0,1-(('Candidate Inputs'!J7/I7)/0.30))</x:f>
        <x:v>0.5141632698872386</x:v>
      </x:c>
      <x:c r="E7" s="30" t="n">
        <x:f>1-MIN(1,0.75*('Candidate Inputs'!H7/7)+0.25*(1-MIN('Candidate Inputs'!I7,3.2)/3.2))</x:f>
        <x:v>0.5457589285714286</x:v>
      </x:c>
      <x:c r="F7" s="30" t="n">
        <x:f>(0.45*'Candidate Inputs'!K7+0.30*'Candidate Inputs'!L7+0.10*'Candidate Inputs'!M7+0.15*'Candidate Inputs'!N7)/100</x:f>
        <x:v>0.7750000000000001</x:v>
      </x:c>
      <x:c r="G7" s="30" t="n">
        <x:f>1-J7/0.30</x:f>
        <x:v>0.5871015327134528</x:v>
      </x:c>
      <x:c r="H7" s="30" t="n">
        <x:f>Assumptions!$B$6*C7+Assumptions!$B$7*D7+Assumptions!$B$8*E7+Assumptions!$B$9*F7+Assumptions!$B$10*G7</x:f>
        <x:v>0.5225838976535528</x:v>
      </x:c>
      <x:c r="I7" s="26" t="n">
        <x:f>('Candidate Inputs'!G7*('Candidate Inputs'!F7/MEDIAN('Candidate Inputs'!$F$2:$F$7)))*Assumptions!$B$2*Assumptions!$B$3*365/10000000</x:f>
        <x:v>4.665490536585366</x:v>
      </x:c>
      <x:c r="J7" s="28" t="n">
        <x:f>MIN(0.30,0.075*((EXP(-MAX(0.7,SQRT(('Candidate Inputs'!C7-'Existing Stores'!C2)^2+('Candidate Inputs'!D7-'Existing Stores'!D2)^2)*0.08)/2.4)*('Existing Stores'!E2/MAX('Existing Stores'!$E$2:$E$9)))+(EXP(-MAX(0.7,SQRT(('Candidate Inputs'!C7-'Existing Stores'!C3)^2+('Candidate Inputs'!D7-'Existing Stores'!D3)^2)*0.08)/2.4)*('Existing Stores'!E3/MAX('Existing Stores'!$E$2:$E$9)))+(EXP(-MAX(0.7,SQRT(('Candidate Inputs'!C7-'Existing Stores'!C4)^2+('Candidate Inputs'!D7-'Existing Stores'!D4)^2)*0.08)/2.4)*('Existing Stores'!E4/MAX('Existing Stores'!$E$2:$E$9)))+(EXP(-MAX(0.7,SQRT(('Candidate Inputs'!C7-'Existing Stores'!C5)^2+('Candidate Inputs'!D7-'Existing Stores'!D5)^2)*0.08)/2.4)*('Existing Stores'!E5/MAX('Existing Stores'!$E$2:$E$9)))+(EXP(-MAX(0.7,SQRT(('Candidate Inputs'!C7-'Existing Stores'!C6)^2+('Candidate Inputs'!D7-'Existing Stores'!D6)^2)*0.08)/2.4)*('Existing Stores'!E6/MAX('Existing Stores'!$E$2:$E$9)))+(EXP(-MAX(0.7,SQRT(('Candidate Inputs'!C7-'Existing Stores'!C7)^2+('Candidate Inputs'!D7-'Existing Stores'!D7)^2)*0.08)/2.4)*('Existing Stores'!E7/MAX('Existing Stores'!$E$2:$E$9)))+(EXP(-MAX(0.7,SQRT(('Candidate Inputs'!C7-'Existing Stores'!C8)^2+('Candidate Inputs'!D7-'Existing Stores'!D8)^2)*0.08)/2.4)*('Existing Stores'!E8/MAX('Existing Stores'!$E$2:$E$9)))+(EXP(-MAX(0.7,SQRT(('Candidate Inputs'!C7-'Existing Stores'!C9)^2+('Candidate Inputs'!D7-'Existing Stores'!D9)^2)*0.08)/2.4)*('Existing Stores'!E9/MAX('Existing Stores'!$E$2:$E$9)))))</x:f>
        <x:v>0.12386954018596417</x:v>
      </x:c>
      <x:c r="K7" s="26" t="n">
        <x:f>I7*Assumptions!$B$4-'Candidate Inputs'!J7</x:f>
        <x:v>1.1861962146341463</x:v>
      </x:c>
      <x:c r="L7" s="26" t="n">
        <x:f>I7*J7*Assumptions!$B$5</x:f>
        <x:v>0.10402419015158336</x:v>
      </x:c>
      <x:c r="M7" s="26" t="n">
        <x:f>K7-L7</x:f>
        <x:v>1.082172024482563</x:v>
      </x:c>
      <x:c r="N7" s="28" t="n">
        <x:f>M7/'Candidate Inputs'!P7</x:f>
        <x:v>0.3607240081608543</x:v>
      </x:c>
      <x:c r="O7" s="30" t="n">
        <x:f>IF(M7&gt;0,'Candidate Inputs'!P7/M7*12,"")</x:f>
        <x:v>33.26643009203022</x:v>
      </x:c>
      <x:c r="P7" s="30" t="n">
        <x:f>MAX(58,MIN(91,85-('Candidate Inputs'!H7-1)*1.5-MAX(0,'Candidate Inputs'!J7-0.9)*7-J7*15))</x:f>
        <x:v>80.14195689721053</x:v>
      </x:c>
      <x:c r="Q7" s="23" t="str">
        <x:f>IF(AND(M7&gt;=0.95,N7&gt;=0.25),"OPEN",IF(M7&gt;=0.55,"VALIDATE","REJECT"))</x:f>
        <x:v>OPEN</x:v>
      </x:c>
    </x:row>
  </x:sheetData>
  <x:conditionalFormatting sqref="M2:M7">
    <x:cfRule type="colorScale" priority="1">
      <x:colorScale>
        <x:cfvo type="min"/>
        <x:cfvo type="percentile" val="50"/>
        <x:cfvo type="max"/>
        <x:color rgb="FFFF6B7A"/>
        <x:color rgb="FFFFC857"/>
        <x:color rgb="FF5EE2A7"/>
      </x:colorScale>
    </x:cfRule>
  </x:conditionalFormatting>
  <x:conditionalFormatting sqref="N2:N7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{3F703E31-1517-A3A3-E7C7-DA70CE3E055A}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3F703E31-1517-A3A3-E7C7-DA70CE3E055A}">
            <x14:dataBar gradient="1">
              <x14:cfvo type="min"/>
              <x14:cfvo type="max"/>
              <x14:fillColor rgb="FFA02B93"/>
            </x14:dataBar>
          </x14:cfRule>
          <xm:sqref>N2:N7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38" t="str">
        <x:v>Scenario</x:v>
      </x:c>
      <x:c r="B1" s="38" t="str">
        <x:v>Footfall Mult.</x:v>
      </x:c>
      <x:c r="C1" s="38" t="str">
        <x:v>Rent Mult.</x:v>
      </x:c>
      <x:c r="D1" s="38" t="str">
        <x:v>Cannib. Mult.</x:v>
      </x:c>
      <x:c r="E1" s="38" t="str">
        <x:v>Net Value – Top</x:v>
      </x:c>
      <x:c r="F1" s="38" t="str">
        <x:v>Net Value – Runner-up</x:v>
      </x:c>
    </x:row>
    <x:row r="2">
      <x:c r="A2" s="22" t="str">
        <x:v>Base</x:v>
      </x:c>
      <x:c r="B2" s="46" t="n">
        <x:v>1</x:v>
      </x:c>
      <x:c r="C2" s="46" t="n">
        <x:v>1</x:v>
      </x:c>
      <x:c r="D2" s="46" t="n">
        <x:v>1</x:v>
      </x:c>
      <x:c r="E2" s="48" t="n">
        <x:f>INDEX('Model &amp; Ranking'!$I$2:$I$7,MATCH(1,'Model &amp; Ranking'!$A$2:$A$7,0))*B2*Assumptions!$B$4-INDEX('Candidate Inputs'!$J$2:$J$7,MATCH(1,'Model &amp; Ranking'!$A$2:$A$7,0))*C2-INDEX('Model &amp; Ranking'!$I$2:$I$7,MATCH(1,'Model &amp; Ranking'!$A$2:$A$7,0))*B2*INDEX('Model &amp; Ranking'!$J$2:$J$7,MATCH(1,'Model &amp; Ranking'!$A$2:$A$7,0))*D2*Assumptions!$B$5</x:f>
        <x:v>1.2599536034213896</x:v>
      </x:c>
      <x:c r="F2" s="48" t="n">
        <x:f>INDEX('Model &amp; Ranking'!$I$2:$I$7,MATCH(2,'Model &amp; Ranking'!$A$2:$A$7,0))*B2*Assumptions!$B$4-INDEX('Candidate Inputs'!$J$2:$J$7,MATCH(2,'Model &amp; Ranking'!$A$2:$A$7,0))*C2-INDEX('Model &amp; Ranking'!$I$2:$I$7,MATCH(2,'Model &amp; Ranking'!$A$2:$A$7,0))*B2*INDEX('Model &amp; Ranking'!$J$2:$J$7,MATCH(2,'Model &amp; Ranking'!$A$2:$A$7,0))*D2*Assumptions!$B$5</x:f>
        <x:v>1.082172024482563</x:v>
      </x:c>
    </x:row>
    <x:row r="3">
      <x:c r="A3" s="22" t="str">
        <x:v>Footfall -10%</x:v>
      </x:c>
      <x:c r="B3" s="46" t="n">
        <x:v>0.9</x:v>
      </x:c>
      <x:c r="C3" s="46" t="n">
        <x:v>1</x:v>
      </x:c>
      <x:c r="D3" s="46" t="n">
        <x:v>1</x:v>
      </x:c>
      <x:c r="E3" s="48" t="n">
        <x:f>INDEX('Model &amp; Ranking'!$I$2:$I$7,MATCH(1,'Model &amp; Ranking'!$A$2:$A$7,0))*B3*Assumptions!$B$4-INDEX('Candidate Inputs'!$J$2:$J$7,MATCH(1,'Model &amp; Ranking'!$A$2:$A$7,0))*C3-INDEX('Model &amp; Ranking'!$I$2:$I$7,MATCH(1,'Model &amp; Ranking'!$A$2:$A$7,0))*B3*INDEX('Model &amp; Ranking'!$J$2:$J$7,MATCH(1,'Model &amp; Ranking'!$A$2:$A$7,0))*D3*Assumptions!$B$5</x:f>
        <x:v>1.055958243079251</x:v>
      </x:c>
      <x:c r="F3" s="48" t="n">
        <x:f>INDEX('Model &amp; Ranking'!$I$2:$I$7,MATCH(2,'Model &amp; Ranking'!$A$2:$A$7,0))*B3*Assumptions!$B$4-INDEX('Candidate Inputs'!$J$2:$J$7,MATCH(2,'Model &amp; Ranking'!$A$2:$A$7,0))*C3-INDEX('Model &amp; Ranking'!$I$2:$I$7,MATCH(2,'Model &amp; Ranking'!$A$2:$A$7,0))*B3*INDEX('Model &amp; Ranking'!$J$2:$J$7,MATCH(2,'Model &amp; Ranking'!$A$2:$A$7,0))*D3*Assumptions!$B$5</x:f>
        <x:v>0.9059548220343066</x:v>
      </x:c>
    </x:row>
    <x:row r="4">
      <x:c r="A4" s="22" t="str">
        <x:v>Footfall -15%</x:v>
      </x:c>
      <x:c r="B4" s="46" t="n">
        <x:v>0.85</x:v>
      </x:c>
      <x:c r="C4" s="46" t="n">
        <x:v>1</x:v>
      </x:c>
      <x:c r="D4" s="46" t="n">
        <x:v>1</x:v>
      </x:c>
      <x:c r="E4" s="48" t="n">
        <x:f>INDEX('Model &amp; Ranking'!$I$2:$I$7,MATCH(1,'Model &amp; Ranking'!$A$2:$A$7,0))*B4*Assumptions!$B$4-INDEX('Candidate Inputs'!$J$2:$J$7,MATCH(1,'Model &amp; Ranking'!$A$2:$A$7,0))*C4-INDEX('Model &amp; Ranking'!$I$2:$I$7,MATCH(1,'Model &amp; Ranking'!$A$2:$A$7,0))*B4*INDEX('Model &amp; Ranking'!$J$2:$J$7,MATCH(1,'Model &amp; Ranking'!$A$2:$A$7,0))*D4*Assumptions!$B$5</x:f>
        <x:v>0.9539605629081809</x:v>
      </x:c>
      <x:c r="F4" s="48" t="n">
        <x:f>INDEX('Model &amp; Ranking'!$I$2:$I$7,MATCH(2,'Model &amp; Ranking'!$A$2:$A$7,0))*B4*Assumptions!$B$4-INDEX('Candidate Inputs'!$J$2:$J$7,MATCH(2,'Model &amp; Ranking'!$A$2:$A$7,0))*C4-INDEX('Model &amp; Ranking'!$I$2:$I$7,MATCH(2,'Model &amp; Ranking'!$A$2:$A$7,0))*B4*INDEX('Model &amp; Ranking'!$J$2:$J$7,MATCH(2,'Model &amp; Ranking'!$A$2:$A$7,0))*D4*Assumptions!$B$5</x:f>
        <x:v>0.8178462208101784</x:v>
      </x:c>
    </x:row>
    <x:row r="5">
      <x:c r="A5" s="22" t="str">
        <x:v>Rent +10%</x:v>
      </x:c>
      <x:c r="B5" s="46" t="n">
        <x:v>1</x:v>
      </x:c>
      <x:c r="C5" s="46" t="n">
        <x:v>1.1</x:v>
      </x:c>
      <x:c r="D5" s="46" t="n">
        <x:v>1</x:v>
      </x:c>
      <x:c r="E5" s="48" t="n">
        <x:f>INDEX('Model &amp; Ranking'!$I$2:$I$7,MATCH(1,'Model &amp; Ranking'!$A$2:$A$7,0))*B5*Assumptions!$B$4-INDEX('Candidate Inputs'!$J$2:$J$7,MATCH(1,'Model &amp; Ranking'!$A$2:$A$7,0))*C5-INDEX('Model &amp; Ranking'!$I$2:$I$7,MATCH(1,'Model &amp; Ranking'!$A$2:$A$7,0))*B5*INDEX('Model &amp; Ranking'!$J$2:$J$7,MATCH(1,'Model &amp; Ranking'!$A$2:$A$7,0))*D5*Assumptions!$B$5</x:f>
        <x:v>1.1819536034213896</x:v>
      </x:c>
      <x:c r="F5" s="48" t="n">
        <x:f>INDEX('Model &amp; Ranking'!$I$2:$I$7,MATCH(2,'Model &amp; Ranking'!$A$2:$A$7,0))*B5*Assumptions!$B$4-INDEX('Candidate Inputs'!$J$2:$J$7,MATCH(2,'Model &amp; Ranking'!$A$2:$A$7,0))*C5-INDEX('Model &amp; Ranking'!$I$2:$I$7,MATCH(2,'Model &amp; Ranking'!$A$2:$A$7,0))*B5*INDEX('Model &amp; Ranking'!$J$2:$J$7,MATCH(2,'Model &amp; Ranking'!$A$2:$A$7,0))*D5*Assumptions!$B$5</x:f>
        <x:v>1.014172024482563</x:v>
      </x:c>
    </x:row>
    <x:row r="6">
      <x:c r="A6" s="22" t="str">
        <x:v>Cannibalisation +20%</x:v>
      </x:c>
      <x:c r="B6" s="46" t="n">
        <x:v>1</x:v>
      </x:c>
      <x:c r="C6" s="46" t="n">
        <x:v>1</x:v>
      </x:c>
      <x:c r="D6" s="46" t="n">
        <x:v>1.2</x:v>
      </x:c>
      <x:c r="E6" s="48" t="n">
        <x:f>INDEX('Model &amp; Ranking'!$I$2:$I$7,MATCH(1,'Model &amp; Ranking'!$A$2:$A$7,0))*B6*Assumptions!$B$4-INDEX('Candidate Inputs'!$J$2:$J$7,MATCH(1,'Model &amp; Ranking'!$A$2:$A$7,0))*C6-INDEX('Model &amp; Ranking'!$I$2:$I$7,MATCH(1,'Model &amp; Ranking'!$A$2:$A$7,0))*B6*INDEX('Model &amp; Ranking'!$J$2:$J$7,MATCH(1,'Model &amp; Ranking'!$A$2:$A$7,0))*D6*Assumptions!$B$5</x:f>
        <x:v>1.2255628997154238</x:v>
      </x:c>
      <x:c r="F6" s="48" t="n">
        <x:f>INDEX('Model &amp; Ranking'!$I$2:$I$7,MATCH(2,'Model &amp; Ranking'!$A$2:$A$7,0))*B6*Assumptions!$B$4-INDEX('Candidate Inputs'!$J$2:$J$7,MATCH(2,'Model &amp; Ranking'!$A$2:$A$7,0))*C6-INDEX('Model &amp; Ranking'!$I$2:$I$7,MATCH(2,'Model &amp; Ranking'!$A$2:$A$7,0))*B6*INDEX('Model &amp; Ranking'!$J$2:$J$7,MATCH(2,'Model &amp; Ranking'!$A$2:$A$7,0))*D6*Assumptions!$B$5</x:f>
        <x:v>1.0613671864522463</x:v>
      </x:c>
    </x:row>
    <x:row r="8">
      <x:c r="A8" s="33" t="str">
        <x:v>Breaker: top site vs runner-up</x:v>
      </x:c>
      <x:c r="B8" s="33"/>
      <x:c r="C8" s="33"/>
      <x:c r="D8" s="33"/>
      <x:c r="E8" s="33"/>
      <x:c r="F8" s="33"/>
    </x:row>
    <x:row r="9">
      <x:c r="A9" s="23" t="str">
        <x:v>Footfall breakpoint</x:v>
      </x:c>
      <x:c r="B9" s="28" t="n">
        <x:v>0.08799999999999997</x:v>
      </x:c>
      <x:c r="C9" s="23" t="str"/>
      <x:c r="D9" s="23" t="str">
        <x:v>Model sweep</x:v>
      </x:c>
      <x:c r="E9" s="23" t="str"/>
      <x:c r="F9" s="23" t="str"/>
    </x:row>
    <x:row r="10">
      <x:c r="A10" s="23" t="str">
        <x:v>Interpretation</x:v>
      </x:c>
      <x:c r="B10" s="23" t="str">
        <x:v>A sensitivity signal, not a forecast. Validate the highest-sensitivity input before committing capital.</x:v>
      </x:c>
      <x:c r="C10" s="23" t="str"/>
      <x:c r="D10" s="23" t="str"/>
      <x:c r="E10" s="23" t="str"/>
      <x:c r="F10" s="23" t="str"/>
    </x:row>
  </x:sheetData>
  <x:mergeCells>
    <x:mergeCell ref="A8:F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50" t="str">
        <x:v>NEXTSTORE | Prototype Notes</x:v>
      </x:c>
      <x:c r="B1" s="50"/>
      <x:c r="C1" s="50"/>
      <x:c r="D1" s="50"/>
      <x:c r="E1" s="50"/>
      <x:c r="F1" s="50"/>
    </x:row>
    <x:row r="3">
      <x:c r="A3" s="23" t="str">
        <x:v>Purpose</x:v>
      </x:c>
      <x:c r="B3" s="23" t="str">
        <x:v>Support workbook for the NEXTSTORE prototype. Synthetic data only.</x:v>
      </x:c>
    </x:row>
    <x:row r="4">
      <x:c r="A4" s="23" t="str">
        <x:v>North-star KPI</x:v>
      </x:c>
      <x:c r="B4" s="23" t="str">
        <x:v>Net Incremental Value: estimated annual contribution after rent and cannibalised contribution loss.</x:v>
      </x:c>
    </x:row>
    <x:row r="5">
      <x:c r="A5" s="23" t="str">
        <x:v>MCDA</x:v>
      </x:c>
      <x:c r="B5" s="23" t="str">
        <x:v>Directional opportunity score uses demand, economics, competition, accessibility and network protection.</x:v>
      </x:c>
    </x:row>
    <x:row r="6">
      <x:c r="A6" s="23" t="str">
        <x:v>Demand quality</x:v>
      </x:c>
      <x:c r="B6" s="23" t="str">
        <x:v>Footfall is adjusted by household income relative to the candidate-set median.</x:v>
      </x:c>
    </x:row>
    <x:row r="7">
      <x:c r="A7" s="23" t="str">
        <x:v>Cannibalisation</x:v>
      </x:c>
      <x:c r="B7" s="23" t="str">
        <x:v>Simplified distance-decay proxy inspired by gravity/Huff logic; it must be calibrated to real transaction/catchment data in production.</x:v>
      </x:c>
    </x:row>
    <x:row r="8">
      <x:c r="A8" s="23" t="str">
        <x:v>AI role</x:v>
      </x:c>
      <x:c r="B8" s="23" t="str">
        <x:v>Explain and challenge deterministic outputs; do not invent or override model numbers.</x:v>
      </x:c>
    </x:row>
    <x:row r="9">
      <x:c r="A9" s="23" t="str">
        <x:v>Decision confidence</x:v>
      </x:c>
      <x:c r="B9" s="23" t="str">
        <x:v>Illustrative signal based on selected input uncertainty and network/competition conditions.</x:v>
      </x:c>
    </x:row>
    <x:row r="10">
      <x:c r="A10" s="23" t="str">
        <x:v>Production validation</x:v>
      </x:c>
      <x:c r="B10" s="23" t="str">
        <x:v>Replace synthetic coefficients with actual store P&amp;Ls, lease terms, mobility/footfall data, competitor mapping, catchments and observed conversion.</x:v>
      </x:c>
    </x:row>
  </x:sheetData>
  <x:mergeCells>
    <x:mergeCell ref="A1:F1"/>
  </x:mergeCells>
  <x:pageMargins left="0.7" right="0.7" top="0.75" bottom="0.75" header="0.3" footer="0.3"/>
</x:worksheet>
</file>